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I:\03 Research\2727 VVR Research Publications\09 2024 Papers\01 Mahesh V V R\05 Papers Under Working VVR\II BTech Proj\"/>
    </mc:Choice>
  </mc:AlternateContent>
  <bookViews>
    <workbookView xWindow="0" yWindow="0" windowWidth="28800" windowHeight="12180"/>
  </bookViews>
  <sheets>
    <sheet name="Pumpkin Seeds" sheetId="6" r:id="rId1"/>
    <sheet name="XGBoost" sheetId="7" r:id="rId2"/>
    <sheet name="preparation" sheetId="9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6" i="6" l="1"/>
  <c r="H6" i="6" l="1"/>
  <c r="G6" i="6"/>
  <c r="J5" i="6"/>
  <c r="H5" i="6"/>
  <c r="G5" i="6"/>
  <c r="J4" i="6"/>
  <c r="H4" i="6"/>
  <c r="G4" i="6"/>
  <c r="I4" i="6" s="1"/>
  <c r="J3" i="6"/>
  <c r="H3" i="6"/>
  <c r="G3" i="6"/>
  <c r="J12" i="6"/>
  <c r="H12" i="6"/>
  <c r="G12" i="6"/>
  <c r="J11" i="6"/>
  <c r="H11" i="6"/>
  <c r="G11" i="6"/>
  <c r="I11" i="6" s="1"/>
  <c r="J10" i="6"/>
  <c r="H10" i="6"/>
  <c r="G10" i="6"/>
  <c r="I10" i="6" s="1"/>
  <c r="J9" i="6"/>
  <c r="H9" i="6"/>
  <c r="G9" i="6"/>
  <c r="J18" i="6"/>
  <c r="H18" i="6"/>
  <c r="G18" i="6"/>
  <c r="J17" i="6"/>
  <c r="H17" i="6"/>
  <c r="G17" i="6"/>
  <c r="I17" i="6" s="1"/>
  <c r="J16" i="6"/>
  <c r="H16" i="6"/>
  <c r="G16" i="6"/>
  <c r="J15" i="6"/>
  <c r="H15" i="6"/>
  <c r="G15" i="6"/>
  <c r="J24" i="6"/>
  <c r="H24" i="6"/>
  <c r="G24" i="6"/>
  <c r="I24" i="6" s="1"/>
  <c r="J23" i="6"/>
  <c r="H23" i="6"/>
  <c r="G23" i="6"/>
  <c r="J22" i="6"/>
  <c r="H22" i="6"/>
  <c r="G22" i="6"/>
  <c r="J21" i="6"/>
  <c r="H21" i="6"/>
  <c r="G21" i="6"/>
  <c r="I22" i="6" l="1"/>
  <c r="I21" i="6"/>
  <c r="I18" i="6"/>
  <c r="I5" i="6"/>
  <c r="I23" i="6"/>
  <c r="I16" i="6"/>
  <c r="I15" i="6"/>
  <c r="I12" i="6"/>
  <c r="I6" i="6"/>
  <c r="I3" i="6"/>
  <c r="I9" i="6"/>
</calcChain>
</file>

<file path=xl/sharedStrings.xml><?xml version="1.0" encoding="utf-8"?>
<sst xmlns="http://schemas.openxmlformats.org/spreadsheetml/2006/main" count="124" uniqueCount="31">
  <si>
    <t>Accuracy</t>
  </si>
  <si>
    <t>Specificity</t>
  </si>
  <si>
    <t>Precision</t>
  </si>
  <si>
    <t>KNN</t>
  </si>
  <si>
    <t>SVM</t>
  </si>
  <si>
    <t>NB</t>
  </si>
  <si>
    <t>Recall</t>
  </si>
  <si>
    <t>TP</t>
  </si>
  <si>
    <t>TN</t>
  </si>
  <si>
    <t>FP</t>
  </si>
  <si>
    <t>FN</t>
  </si>
  <si>
    <t>F1 Score</t>
  </si>
  <si>
    <t>Testing Accuracy</t>
  </si>
  <si>
    <t>Training Time</t>
  </si>
  <si>
    <t>Validation Accuracy</t>
  </si>
  <si>
    <t>Hold Out Validation 20</t>
  </si>
  <si>
    <t>Hold Out Validation  16</t>
  </si>
  <si>
    <t>Hold Out Validation  18</t>
  </si>
  <si>
    <t>Hold Out Validation  14</t>
  </si>
  <si>
    <t>Hold Out Validation  12</t>
  </si>
  <si>
    <t>Hold Out Validation  10</t>
  </si>
  <si>
    <t xml:space="preserve">All </t>
  </si>
  <si>
    <t>Features</t>
  </si>
  <si>
    <t>XGBoost</t>
  </si>
  <si>
    <t>Boosted Trees</t>
  </si>
  <si>
    <t>Bagged Trees</t>
  </si>
  <si>
    <t>RUS Boosted Trees</t>
  </si>
  <si>
    <t>Optimizable Ensemble</t>
  </si>
  <si>
    <t>Hold Out Validation 12</t>
  </si>
  <si>
    <t>Hold Out Validation  08</t>
  </si>
  <si>
    <t>Hold Out Validation  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</si>
</sst>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N25"/>
  <sheetViews>
    <sheetView tabSelected="1" zoomScale="110" zoomScaleNormal="110" workbookViewId="0">
      <selection activeCell="B20" sqref="B20"/>
    </sheetView>
  </sheetViews>
  <sheetFormatPr defaultRowHeight="15" x14ac:dyDescent="0.25"/>
  <cols>
    <col min="1" max="1" width="0.85546875" customWidth="1"/>
    <col min="2" max="2" width="23" customWidth="1"/>
    <col min="3" max="3" width="5.85546875" customWidth="1"/>
    <col min="4" max="4" width="5.7109375" customWidth="1"/>
    <col min="5" max="5" width="5.140625" customWidth="1"/>
    <col min="6" max="6" width="6.28515625" customWidth="1"/>
    <col min="7" max="7" width="9.28515625" customWidth="1"/>
    <col min="8" max="8" width="8.28515625" customWidth="1"/>
    <col min="9" max="9" width="8" customWidth="1"/>
    <col min="10" max="10" width="10" customWidth="1"/>
    <col min="11" max="11" width="12" customWidth="1"/>
    <col min="12" max="12" width="12.140625" customWidth="1"/>
    <col min="13" max="13" width="9.140625" customWidth="1"/>
  </cols>
  <sheetData>
    <row r="2" spans="2:14" ht="33" customHeight="1" x14ac:dyDescent="0.25">
      <c r="B2" s="14" t="s">
        <v>28</v>
      </c>
      <c r="C2" s="4" t="s">
        <v>7</v>
      </c>
      <c r="D2" s="4" t="s">
        <v>9</v>
      </c>
      <c r="E2" s="4" t="s">
        <v>10</v>
      </c>
      <c r="F2" s="4" t="s">
        <v>8</v>
      </c>
      <c r="G2" s="4" t="s">
        <v>2</v>
      </c>
      <c r="H2" s="4" t="s">
        <v>6</v>
      </c>
      <c r="I2" s="4" t="s">
        <v>11</v>
      </c>
      <c r="J2" s="4" t="s">
        <v>1</v>
      </c>
      <c r="K2" s="8" t="s">
        <v>14</v>
      </c>
      <c r="L2" s="8" t="s">
        <v>13</v>
      </c>
      <c r="M2" s="8" t="s">
        <v>12</v>
      </c>
    </row>
    <row r="3" spans="2:14" ht="15.95" customHeight="1" x14ac:dyDescent="0.25">
      <c r="B3" s="3" t="s">
        <v>24</v>
      </c>
      <c r="C3" s="6">
        <v>121</v>
      </c>
      <c r="D3" s="6">
        <v>14</v>
      </c>
      <c r="E3" s="6">
        <v>16</v>
      </c>
      <c r="F3" s="7">
        <v>109</v>
      </c>
      <c r="G3" s="5">
        <f>(C3/(C3+D3))*100</f>
        <v>89.629629629629619</v>
      </c>
      <c r="H3" s="5">
        <f>(C3/(C3+E3))*100</f>
        <v>88.321167883211686</v>
      </c>
      <c r="I3" s="5">
        <f>(2*G3*H3)/(G3+H3)</f>
        <v>88.970588235294116</v>
      </c>
      <c r="J3" s="5">
        <f>(F3/(F3+D3))*100</f>
        <v>88.617886178861795</v>
      </c>
      <c r="K3" s="10">
        <v>88.5</v>
      </c>
      <c r="L3" s="10">
        <v>3.8</v>
      </c>
      <c r="M3" s="10">
        <v>88.6</v>
      </c>
    </row>
    <row r="4" spans="2:14" ht="15.95" customHeight="1" x14ac:dyDescent="0.25">
      <c r="B4" s="3" t="s">
        <v>25</v>
      </c>
      <c r="C4" s="11"/>
      <c r="D4" s="11"/>
      <c r="E4" s="11"/>
      <c r="F4" s="11"/>
      <c r="G4" s="5" t="e">
        <f t="shared" ref="G4:G6" si="0">(C4/(C4+D4))*100</f>
        <v>#DIV/0!</v>
      </c>
      <c r="H4" s="5" t="e">
        <f t="shared" ref="H4:H6" si="1">(C4/(C4+E4))*100</f>
        <v>#DIV/0!</v>
      </c>
      <c r="I4" s="5" t="e">
        <f t="shared" ref="I4:I6" si="2">(2*G4*H4)/(G4+H4)</f>
        <v>#DIV/0!</v>
      </c>
      <c r="J4" s="5" t="e">
        <f t="shared" ref="J4:J5" si="3">(F4/(F4+D4))*100</f>
        <v>#DIV/0!</v>
      </c>
      <c r="K4" s="2"/>
      <c r="L4" s="2"/>
      <c r="M4" s="2"/>
    </row>
    <row r="5" spans="2:14" ht="15.95" customHeight="1" x14ac:dyDescent="0.25">
      <c r="B5" s="3" t="s">
        <v>26</v>
      </c>
      <c r="C5" s="2"/>
      <c r="D5" s="2"/>
      <c r="E5" s="2"/>
      <c r="F5" s="2"/>
      <c r="G5" s="5" t="e">
        <f t="shared" si="0"/>
        <v>#DIV/0!</v>
      </c>
      <c r="H5" s="5" t="e">
        <f t="shared" si="1"/>
        <v>#DIV/0!</v>
      </c>
      <c r="I5" s="5" t="e">
        <f t="shared" si="2"/>
        <v>#DIV/0!</v>
      </c>
      <c r="J5" s="5" t="e">
        <f t="shared" si="3"/>
        <v>#DIV/0!</v>
      </c>
      <c r="K5" s="2"/>
      <c r="L5" s="2"/>
      <c r="M5" s="2"/>
    </row>
    <row r="6" spans="2:14" ht="15.95" customHeight="1" x14ac:dyDescent="0.25">
      <c r="B6" s="3" t="s">
        <v>27</v>
      </c>
      <c r="C6" s="2"/>
      <c r="D6" s="2"/>
      <c r="E6" s="11"/>
      <c r="F6" s="2"/>
      <c r="G6" s="5" t="e">
        <f t="shared" si="0"/>
        <v>#DIV/0!</v>
      </c>
      <c r="H6" s="5" t="e">
        <f t="shared" si="1"/>
        <v>#DIV/0!</v>
      </c>
      <c r="I6" s="5" t="e">
        <f t="shared" si="2"/>
        <v>#DIV/0!</v>
      </c>
      <c r="J6" s="5" t="e">
        <f>(F6/(F6+D6))*100</f>
        <v>#DIV/0!</v>
      </c>
      <c r="K6" s="2"/>
      <c r="L6" s="2"/>
      <c r="M6" s="2"/>
    </row>
    <row r="8" spans="2:14" ht="31.5" customHeight="1" x14ac:dyDescent="0.25">
      <c r="B8" s="14" t="s">
        <v>20</v>
      </c>
      <c r="C8" s="4" t="s">
        <v>7</v>
      </c>
      <c r="D8" s="4" t="s">
        <v>9</v>
      </c>
      <c r="E8" s="4" t="s">
        <v>10</v>
      </c>
      <c r="F8" s="4" t="s">
        <v>8</v>
      </c>
      <c r="G8" s="4" t="s">
        <v>2</v>
      </c>
      <c r="H8" s="4" t="s">
        <v>6</v>
      </c>
      <c r="I8" s="4" t="s">
        <v>11</v>
      </c>
      <c r="J8" s="4" t="s">
        <v>1</v>
      </c>
      <c r="K8" s="8" t="s">
        <v>14</v>
      </c>
      <c r="L8" s="8" t="s">
        <v>13</v>
      </c>
      <c r="M8" s="8" t="s">
        <v>12</v>
      </c>
      <c r="N8" s="9"/>
    </row>
    <row r="9" spans="2:14" ht="15.95" customHeight="1" x14ac:dyDescent="0.25">
      <c r="B9" s="3" t="s">
        <v>24</v>
      </c>
      <c r="C9" s="6">
        <v>127</v>
      </c>
      <c r="D9" s="6">
        <v>8</v>
      </c>
      <c r="E9" s="6">
        <v>21</v>
      </c>
      <c r="F9" s="7">
        <v>104</v>
      </c>
      <c r="G9" s="5">
        <f>(C9/(C9+D9))*100</f>
        <v>94.074074074074076</v>
      </c>
      <c r="H9" s="5">
        <f>(C9/(C9+E9))*100</f>
        <v>85.810810810810807</v>
      </c>
      <c r="I9" s="5">
        <f>(2*G9*H9)/(G9+H9)</f>
        <v>89.752650176678443</v>
      </c>
      <c r="J9" s="13">
        <f>(F9/(F9+D9))*100</f>
        <v>92.857142857142861</v>
      </c>
      <c r="K9" s="10">
        <v>88.8</v>
      </c>
      <c r="L9" s="10">
        <v>1.61</v>
      </c>
      <c r="M9" s="10">
        <v>87.2</v>
      </c>
      <c r="N9" s="9"/>
    </row>
    <row r="10" spans="2:14" ht="15.95" customHeight="1" x14ac:dyDescent="0.25">
      <c r="B10" s="3" t="s">
        <v>25</v>
      </c>
      <c r="C10" s="2"/>
      <c r="D10" s="2"/>
      <c r="F10" s="2"/>
      <c r="G10" s="5" t="e">
        <f t="shared" ref="G10:G12" si="4">(C10/(C10+D10))*100</f>
        <v>#DIV/0!</v>
      </c>
      <c r="H10" s="5" t="e">
        <f t="shared" ref="H10:H12" si="5">(C10/(C10+E10))*100</f>
        <v>#DIV/0!</v>
      </c>
      <c r="I10" s="5" t="e">
        <f t="shared" ref="I10:I12" si="6">(2*G10*H10)/(G10+H10)</f>
        <v>#DIV/0!</v>
      </c>
      <c r="J10" s="13" t="e">
        <f t="shared" ref="J10:J12" si="7">(F10/(F10+D10))*100</f>
        <v>#DIV/0!</v>
      </c>
      <c r="K10" s="10"/>
      <c r="L10" s="10"/>
      <c r="M10" s="10"/>
      <c r="N10" s="9"/>
    </row>
    <row r="11" spans="2:14" ht="15.95" customHeight="1" x14ac:dyDescent="0.25">
      <c r="B11" s="3" t="s">
        <v>26</v>
      </c>
      <c r="C11" s="2"/>
      <c r="D11" s="2"/>
      <c r="E11" s="2"/>
      <c r="F11" s="2"/>
      <c r="G11" s="5" t="e">
        <f t="shared" si="4"/>
        <v>#DIV/0!</v>
      </c>
      <c r="H11" s="5" t="e">
        <f t="shared" si="5"/>
        <v>#DIV/0!</v>
      </c>
      <c r="I11" s="5" t="e">
        <f t="shared" si="6"/>
        <v>#DIV/0!</v>
      </c>
      <c r="J11" s="13" t="e">
        <f t="shared" si="7"/>
        <v>#DIV/0!</v>
      </c>
      <c r="K11" s="10"/>
      <c r="L11" s="10"/>
      <c r="M11" s="10"/>
      <c r="N11" s="9"/>
    </row>
    <row r="12" spans="2:14" ht="15.95" customHeight="1" x14ac:dyDescent="0.25">
      <c r="B12" s="3" t="s">
        <v>27</v>
      </c>
      <c r="C12" s="2"/>
      <c r="D12" s="2"/>
      <c r="E12" s="2"/>
      <c r="F12" s="2"/>
      <c r="G12" s="5" t="e">
        <f t="shared" si="4"/>
        <v>#DIV/0!</v>
      </c>
      <c r="H12" s="5" t="e">
        <f t="shared" si="5"/>
        <v>#DIV/0!</v>
      </c>
      <c r="I12" s="5" t="e">
        <f t="shared" si="6"/>
        <v>#DIV/0!</v>
      </c>
      <c r="J12" s="13" t="e">
        <f t="shared" si="7"/>
        <v>#DIV/0!</v>
      </c>
      <c r="K12" s="10"/>
      <c r="L12" s="10"/>
      <c r="M12" s="10"/>
      <c r="N12" s="9"/>
    </row>
    <row r="13" spans="2:14" x14ac:dyDescent="0.25">
      <c r="J13" s="9"/>
      <c r="K13" s="9"/>
      <c r="L13" s="9"/>
      <c r="M13" s="9"/>
      <c r="N13" s="9"/>
    </row>
    <row r="14" spans="2:14" ht="31.5" customHeight="1" x14ac:dyDescent="0.25">
      <c r="B14" s="14" t="s">
        <v>29</v>
      </c>
      <c r="C14" s="4" t="s">
        <v>7</v>
      </c>
      <c r="D14" s="4" t="s">
        <v>9</v>
      </c>
      <c r="E14" s="4" t="s">
        <v>10</v>
      </c>
      <c r="F14" s="4" t="s">
        <v>8</v>
      </c>
      <c r="G14" s="4" t="s">
        <v>2</v>
      </c>
      <c r="H14" s="4" t="s">
        <v>6</v>
      </c>
      <c r="I14" s="4" t="s">
        <v>11</v>
      </c>
      <c r="J14" s="4" t="s">
        <v>1</v>
      </c>
      <c r="K14" s="8" t="s">
        <v>14</v>
      </c>
      <c r="L14" s="8" t="s">
        <v>13</v>
      </c>
      <c r="M14" s="8" t="s">
        <v>12</v>
      </c>
      <c r="N14" s="9"/>
    </row>
    <row r="15" spans="2:14" ht="15.95" customHeight="1" x14ac:dyDescent="0.25">
      <c r="B15" s="3" t="s">
        <v>24</v>
      </c>
      <c r="C15" s="2"/>
      <c r="D15" s="2"/>
      <c r="E15" s="2"/>
      <c r="F15" s="11"/>
      <c r="G15" s="5" t="e">
        <f>(C15/(C15+D15))*100</f>
        <v>#DIV/0!</v>
      </c>
      <c r="H15" s="5" t="e">
        <f>(C15/(C15+E15))*100</f>
        <v>#DIV/0!</v>
      </c>
      <c r="I15" s="5" t="e">
        <f>(2*G15*H15)/(G15+H15)</f>
        <v>#DIV/0!</v>
      </c>
      <c r="J15" s="13" t="e">
        <f>(F15/(F15+D15))*100</f>
        <v>#DIV/0!</v>
      </c>
      <c r="K15" s="10"/>
      <c r="L15" s="10"/>
      <c r="M15" s="10"/>
      <c r="N15" s="9"/>
    </row>
    <row r="16" spans="2:14" ht="15.95" customHeight="1" x14ac:dyDescent="0.25">
      <c r="B16" s="3" t="s">
        <v>25</v>
      </c>
      <c r="C16" s="2"/>
      <c r="D16" s="2"/>
      <c r="E16" s="11"/>
      <c r="F16" s="2"/>
      <c r="G16" s="5" t="e">
        <f t="shared" ref="G16:G18" si="8">(C16/(C16+D16))*100</f>
        <v>#DIV/0!</v>
      </c>
      <c r="H16" s="5" t="e">
        <f t="shared" ref="H16:H18" si="9">(C16/(C16+E16))*100</f>
        <v>#DIV/0!</v>
      </c>
      <c r="I16" s="5" t="e">
        <f t="shared" ref="I16:I18" si="10">(2*G16*H16)/(G16+H16)</f>
        <v>#DIV/0!</v>
      </c>
      <c r="J16" s="13" t="e">
        <f t="shared" ref="J16:J18" si="11">(F16/(F16+D16))*100</f>
        <v>#DIV/0!</v>
      </c>
      <c r="K16" s="10"/>
      <c r="L16" s="10"/>
      <c r="M16" s="10"/>
      <c r="N16" s="9"/>
    </row>
    <row r="17" spans="2:14" ht="15.95" customHeight="1" x14ac:dyDescent="0.25">
      <c r="B17" s="3" t="s">
        <v>26</v>
      </c>
      <c r="C17" s="2"/>
      <c r="D17" s="2"/>
      <c r="E17" s="2"/>
      <c r="F17" s="2"/>
      <c r="G17" s="5" t="e">
        <f t="shared" si="8"/>
        <v>#DIV/0!</v>
      </c>
      <c r="H17" s="5" t="e">
        <f t="shared" si="9"/>
        <v>#DIV/0!</v>
      </c>
      <c r="I17" s="5" t="e">
        <f t="shared" si="10"/>
        <v>#DIV/0!</v>
      </c>
      <c r="J17" s="13" t="e">
        <f t="shared" si="11"/>
        <v>#DIV/0!</v>
      </c>
      <c r="K17" s="10"/>
      <c r="L17" s="10"/>
      <c r="M17" s="10"/>
      <c r="N17" s="9"/>
    </row>
    <row r="18" spans="2:14" ht="15.95" customHeight="1" x14ac:dyDescent="0.25">
      <c r="B18" s="3" t="s">
        <v>27</v>
      </c>
      <c r="C18" s="2"/>
      <c r="D18" s="2"/>
      <c r="E18" s="2"/>
      <c r="F18" s="2"/>
      <c r="G18" s="5" t="e">
        <f t="shared" si="8"/>
        <v>#DIV/0!</v>
      </c>
      <c r="H18" s="5" t="e">
        <f t="shared" si="9"/>
        <v>#DIV/0!</v>
      </c>
      <c r="I18" s="5" t="e">
        <f t="shared" si="10"/>
        <v>#DIV/0!</v>
      </c>
      <c r="J18" s="13" t="e">
        <f t="shared" si="11"/>
        <v>#DIV/0!</v>
      </c>
      <c r="K18" s="10"/>
      <c r="L18" s="10"/>
      <c r="M18" s="10"/>
      <c r="N18" s="9"/>
    </row>
    <row r="19" spans="2:14" x14ac:dyDescent="0.25">
      <c r="J19" s="9"/>
      <c r="K19" s="9"/>
      <c r="L19" s="9"/>
      <c r="M19" s="9"/>
      <c r="N19" s="9"/>
    </row>
    <row r="20" spans="2:14" ht="34.5" customHeight="1" x14ac:dyDescent="0.25">
      <c r="B20" s="14" t="s">
        <v>30</v>
      </c>
      <c r="C20" s="4" t="s">
        <v>7</v>
      </c>
      <c r="D20" s="4" t="s">
        <v>9</v>
      </c>
      <c r="E20" s="4" t="s">
        <v>10</v>
      </c>
      <c r="F20" s="4" t="s">
        <v>8</v>
      </c>
      <c r="G20" s="4" t="s">
        <v>2</v>
      </c>
      <c r="H20" s="4" t="s">
        <v>6</v>
      </c>
      <c r="I20" s="4" t="s">
        <v>11</v>
      </c>
      <c r="J20" s="4" t="s">
        <v>1</v>
      </c>
      <c r="K20" s="8" t="s">
        <v>14</v>
      </c>
      <c r="L20" s="8" t="s">
        <v>13</v>
      </c>
      <c r="M20" s="8" t="s">
        <v>12</v>
      </c>
      <c r="N20" s="9"/>
    </row>
    <row r="21" spans="2:14" ht="15.95" customHeight="1" x14ac:dyDescent="0.25">
      <c r="B21" s="3" t="s">
        <v>24</v>
      </c>
      <c r="C21" s="2"/>
      <c r="D21" s="2"/>
      <c r="E21" s="2"/>
      <c r="F21" s="11"/>
      <c r="G21" s="5" t="e">
        <f>(C21/(C21+D21))*100</f>
        <v>#DIV/0!</v>
      </c>
      <c r="H21" s="5" t="e">
        <f>(C21/(C21+E21))*100</f>
        <v>#DIV/0!</v>
      </c>
      <c r="I21" s="5" t="e">
        <f>(2*G21*H21)/(G21+H21)</f>
        <v>#DIV/0!</v>
      </c>
      <c r="J21" s="13" t="e">
        <f>(F21/(F21+D21))*100</f>
        <v>#DIV/0!</v>
      </c>
      <c r="K21" s="10"/>
      <c r="L21" s="10"/>
      <c r="M21" s="10"/>
      <c r="N21" s="9"/>
    </row>
    <row r="22" spans="2:14" ht="15.95" customHeight="1" x14ac:dyDescent="0.25">
      <c r="B22" s="3" t="s">
        <v>25</v>
      </c>
      <c r="C22" s="2"/>
      <c r="D22" s="2"/>
      <c r="E22" s="11"/>
      <c r="F22" s="2"/>
      <c r="G22" s="5" t="e">
        <f t="shared" ref="G22:G24" si="12">(C22/(C22+D22))*100</f>
        <v>#DIV/0!</v>
      </c>
      <c r="H22" s="5" t="e">
        <f t="shared" ref="H22:H24" si="13">(C22/(C22+E22))*100</f>
        <v>#DIV/0!</v>
      </c>
      <c r="I22" s="5" t="e">
        <f t="shared" ref="I22:I24" si="14">(2*G22*H22)/(G22+H22)</f>
        <v>#DIV/0!</v>
      </c>
      <c r="J22" s="13" t="e">
        <f t="shared" ref="J22:J24" si="15">(F22/(F22+D22))*100</f>
        <v>#DIV/0!</v>
      </c>
      <c r="K22" s="10"/>
      <c r="L22" s="10"/>
      <c r="M22" s="10"/>
      <c r="N22" s="9"/>
    </row>
    <row r="23" spans="2:14" ht="15.95" customHeight="1" x14ac:dyDescent="0.25">
      <c r="B23" s="3" t="s">
        <v>26</v>
      </c>
      <c r="C23" s="2"/>
      <c r="D23" s="2"/>
      <c r="E23" s="2"/>
      <c r="F23" s="2"/>
      <c r="G23" s="5" t="e">
        <f t="shared" si="12"/>
        <v>#DIV/0!</v>
      </c>
      <c r="H23" s="5" t="e">
        <f t="shared" si="13"/>
        <v>#DIV/0!</v>
      </c>
      <c r="I23" s="5" t="e">
        <f t="shared" si="14"/>
        <v>#DIV/0!</v>
      </c>
      <c r="J23" s="13" t="e">
        <f t="shared" si="15"/>
        <v>#DIV/0!</v>
      </c>
      <c r="K23" s="10"/>
      <c r="L23" s="10"/>
      <c r="M23" s="10"/>
      <c r="N23" s="9"/>
    </row>
    <row r="24" spans="2:14" ht="15.95" customHeight="1" x14ac:dyDescent="0.25">
      <c r="B24" s="3" t="s">
        <v>27</v>
      </c>
      <c r="C24" s="2"/>
      <c r="D24" s="2"/>
      <c r="E24" s="2"/>
      <c r="F24" s="2"/>
      <c r="G24" s="5" t="e">
        <f t="shared" si="12"/>
        <v>#DIV/0!</v>
      </c>
      <c r="H24" s="5" t="e">
        <f t="shared" si="13"/>
        <v>#DIV/0!</v>
      </c>
      <c r="I24" s="5" t="e">
        <f t="shared" si="14"/>
        <v>#DIV/0!</v>
      </c>
      <c r="J24" s="13" t="e">
        <f t="shared" si="15"/>
        <v>#DIV/0!</v>
      </c>
      <c r="K24" s="10"/>
      <c r="L24" s="10"/>
      <c r="M24" s="10"/>
      <c r="N24" s="9"/>
    </row>
    <row r="25" spans="2:14" x14ac:dyDescent="0.25">
      <c r="J25" s="9"/>
      <c r="K25" s="9"/>
      <c r="L25" s="9"/>
      <c r="M25" s="9"/>
      <c r="N25" s="9"/>
    </row>
  </sheetData>
  <pageMargins left="0.89" right="0.17" top="0.25" bottom="0.24" header="0.17" footer="0.17"/>
  <pageSetup paperSize="9" scale="86" fitToWidth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2:H8"/>
  <sheetViews>
    <sheetView zoomScale="120" zoomScaleNormal="120" workbookViewId="0">
      <selection activeCell="H25" sqref="H25"/>
    </sheetView>
  </sheetViews>
  <sheetFormatPr defaultRowHeight="15" x14ac:dyDescent="0.25"/>
  <cols>
    <col min="4" max="4" width="14.140625" bestFit="1" customWidth="1"/>
    <col min="5" max="5" width="15.7109375" bestFit="1" customWidth="1"/>
  </cols>
  <sheetData>
    <row r="2" spans="4:8" x14ac:dyDescent="0.25">
      <c r="D2" s="12" t="s">
        <v>22</v>
      </c>
      <c r="E2" s="12" t="s">
        <v>2</v>
      </c>
      <c r="F2" s="12" t="s">
        <v>6</v>
      </c>
      <c r="G2" s="12" t="s">
        <v>11</v>
      </c>
      <c r="H2" s="12" t="s">
        <v>0</v>
      </c>
    </row>
    <row r="3" spans="4:8" x14ac:dyDescent="0.25">
      <c r="D3" s="12" t="s">
        <v>21</v>
      </c>
      <c r="E3" s="2">
        <v>99.05</v>
      </c>
      <c r="F3" s="2">
        <v>95.55</v>
      </c>
      <c r="G3" s="2">
        <v>97.27</v>
      </c>
      <c r="H3" s="2">
        <v>96.9</v>
      </c>
    </row>
    <row r="4" spans="4:8" x14ac:dyDescent="0.25">
      <c r="D4" s="1">
        <v>18</v>
      </c>
      <c r="E4" s="2">
        <v>98.37</v>
      </c>
      <c r="F4" s="2">
        <v>95.39</v>
      </c>
      <c r="G4" s="2">
        <v>96.86</v>
      </c>
      <c r="H4" s="2">
        <v>97.04</v>
      </c>
    </row>
    <row r="5" spans="4:8" x14ac:dyDescent="0.25">
      <c r="D5" s="1">
        <v>16</v>
      </c>
      <c r="E5" s="2">
        <v>98.51</v>
      </c>
      <c r="F5" s="2">
        <v>95.28</v>
      </c>
      <c r="G5" s="2">
        <v>96.86</v>
      </c>
      <c r="H5" s="2">
        <v>97.01</v>
      </c>
    </row>
    <row r="6" spans="4:8" x14ac:dyDescent="0.25">
      <c r="D6" s="1">
        <v>14</v>
      </c>
      <c r="E6" s="2">
        <v>98.51</v>
      </c>
      <c r="F6" s="2">
        <v>95.28</v>
      </c>
      <c r="G6" s="2">
        <v>96.86</v>
      </c>
      <c r="H6" s="2">
        <v>95.7</v>
      </c>
    </row>
    <row r="7" spans="4:8" x14ac:dyDescent="0.25">
      <c r="D7" s="1">
        <v>12</v>
      </c>
      <c r="E7" s="2">
        <v>98.37</v>
      </c>
      <c r="F7" s="2">
        <v>94.77</v>
      </c>
      <c r="G7" s="2">
        <v>96.54</v>
      </c>
      <c r="H7" s="2">
        <v>94.4</v>
      </c>
    </row>
    <row r="8" spans="4:8" x14ac:dyDescent="0.25">
      <c r="D8" s="1">
        <v>10</v>
      </c>
      <c r="E8" s="2">
        <v>98.37</v>
      </c>
      <c r="F8" s="2">
        <v>94.65</v>
      </c>
      <c r="G8" s="2">
        <v>96.47</v>
      </c>
      <c r="H8" s="2">
        <v>94.5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G37"/>
  <sheetViews>
    <sheetView zoomScale="110" zoomScaleNormal="110" workbookViewId="0">
      <selection activeCell="C36" sqref="C36:F36"/>
    </sheetView>
  </sheetViews>
  <sheetFormatPr defaultRowHeight="15" x14ac:dyDescent="0.25"/>
  <cols>
    <col min="1" max="1" width="0.85546875" customWidth="1"/>
    <col min="2" max="2" width="23" customWidth="1"/>
    <col min="3" max="3" width="9.28515625" customWidth="1"/>
    <col min="4" max="4" width="8.28515625" customWidth="1"/>
    <col min="5" max="5" width="8" customWidth="1"/>
    <col min="6" max="6" width="19.7109375" customWidth="1"/>
  </cols>
  <sheetData>
    <row r="2" spans="2:7" x14ac:dyDescent="0.25">
      <c r="B2" s="14" t="s">
        <v>15</v>
      </c>
      <c r="C2" s="4" t="s">
        <v>2</v>
      </c>
      <c r="D2" s="4" t="s">
        <v>6</v>
      </c>
      <c r="E2" s="4" t="s">
        <v>11</v>
      </c>
      <c r="F2" s="8" t="s">
        <v>12</v>
      </c>
    </row>
    <row r="3" spans="2:7" ht="15.95" customHeight="1" x14ac:dyDescent="0.25">
      <c r="B3" s="3" t="s">
        <v>5</v>
      </c>
      <c r="C3" s="5">
        <v>89.280868385345997</v>
      </c>
      <c r="D3" s="5">
        <v>95.639534883720927</v>
      </c>
      <c r="E3" s="5">
        <v>92.350877192982452</v>
      </c>
      <c r="F3" s="10">
        <v>86.1</v>
      </c>
    </row>
    <row r="4" spans="2:7" ht="15.95" customHeight="1" x14ac:dyDescent="0.25">
      <c r="B4" s="3" t="s">
        <v>3</v>
      </c>
      <c r="C4" s="5">
        <v>99.864314789687924</v>
      </c>
      <c r="D4" s="5">
        <v>89.646772228989036</v>
      </c>
      <c r="E4" s="5">
        <v>94.480102695763804</v>
      </c>
      <c r="F4" s="2">
        <v>89.9</v>
      </c>
    </row>
    <row r="5" spans="2:7" ht="15.95" customHeight="1" x14ac:dyDescent="0.25">
      <c r="B5" s="3" t="s">
        <v>4</v>
      </c>
      <c r="C5" s="5">
        <v>98.507462686567166</v>
      </c>
      <c r="D5" s="5">
        <v>94.901960784313715</v>
      </c>
      <c r="E5" s="5">
        <v>96.671105193075903</v>
      </c>
      <c r="F5" s="2">
        <v>94.7</v>
      </c>
    </row>
    <row r="6" spans="2:7" ht="15.95" customHeight="1" x14ac:dyDescent="0.25">
      <c r="B6" s="3" t="s">
        <v>23</v>
      </c>
      <c r="C6" s="5">
        <v>98.507462686567166</v>
      </c>
      <c r="D6" s="5">
        <v>97.843665768194072</v>
      </c>
      <c r="E6" s="5">
        <v>98.174442190669367</v>
      </c>
      <c r="F6" s="2">
        <v>97.2</v>
      </c>
    </row>
    <row r="8" spans="2:7" x14ac:dyDescent="0.25">
      <c r="B8" s="14" t="s">
        <v>17</v>
      </c>
      <c r="C8" s="4" t="s">
        <v>2</v>
      </c>
      <c r="D8" s="4" t="s">
        <v>6</v>
      </c>
      <c r="E8" s="4" t="s">
        <v>11</v>
      </c>
      <c r="F8" s="8" t="s">
        <v>12</v>
      </c>
      <c r="G8" s="9"/>
    </row>
    <row r="9" spans="2:7" ht="15.95" customHeight="1" x14ac:dyDescent="0.25">
      <c r="B9" s="3" t="s">
        <v>5</v>
      </c>
      <c r="C9" s="5">
        <v>89.009497964721845</v>
      </c>
      <c r="D9" s="5">
        <v>95.626822157434404</v>
      </c>
      <c r="E9" s="5">
        <v>92.199578355586809</v>
      </c>
      <c r="F9" s="10">
        <v>86.1</v>
      </c>
      <c r="G9" s="9"/>
    </row>
    <row r="10" spans="2:7" ht="15.95" customHeight="1" x14ac:dyDescent="0.25">
      <c r="B10" s="3" t="s">
        <v>3</v>
      </c>
      <c r="C10" s="5">
        <v>98.643147896879242</v>
      </c>
      <c r="D10" s="5">
        <v>91.677175283732666</v>
      </c>
      <c r="E10" s="5">
        <v>95.032679738562081</v>
      </c>
      <c r="F10" s="10">
        <v>90.7</v>
      </c>
      <c r="G10" s="9"/>
    </row>
    <row r="11" spans="2:7" ht="15.95" customHeight="1" x14ac:dyDescent="0.25">
      <c r="B11" s="3" t="s">
        <v>4</v>
      </c>
      <c r="C11" s="5">
        <v>98.643147896879242</v>
      </c>
      <c r="D11" s="5">
        <v>95.281782437745747</v>
      </c>
      <c r="E11" s="5">
        <v>96.933333333333337</v>
      </c>
      <c r="F11" s="10">
        <v>95.1</v>
      </c>
      <c r="G11" s="9"/>
    </row>
    <row r="12" spans="2:7" ht="15.95" customHeight="1" x14ac:dyDescent="0.25">
      <c r="B12" s="3" t="s">
        <v>23</v>
      </c>
      <c r="C12" s="5">
        <v>99.185888738127545</v>
      </c>
      <c r="D12" s="5">
        <v>97.207446808510639</v>
      </c>
      <c r="E12" s="5">
        <v>98.186702484889182</v>
      </c>
      <c r="F12" s="10">
        <v>96.8</v>
      </c>
      <c r="G12" s="9"/>
    </row>
    <row r="13" spans="2:7" x14ac:dyDescent="0.25">
      <c r="F13" s="9"/>
      <c r="G13" s="9"/>
    </row>
    <row r="14" spans="2:7" x14ac:dyDescent="0.25">
      <c r="B14" s="14" t="s">
        <v>16</v>
      </c>
      <c r="C14" s="4" t="s">
        <v>2</v>
      </c>
      <c r="D14" s="4" t="s">
        <v>6</v>
      </c>
      <c r="E14" s="4" t="s">
        <v>11</v>
      </c>
      <c r="F14" s="8" t="s">
        <v>12</v>
      </c>
      <c r="G14" s="9"/>
    </row>
    <row r="15" spans="2:7" ht="15.95" customHeight="1" x14ac:dyDescent="0.25">
      <c r="B15" s="3" t="s">
        <v>5</v>
      </c>
      <c r="C15" s="5">
        <v>87.635869565217391</v>
      </c>
      <c r="D15" s="5">
        <v>95.273264401772522</v>
      </c>
      <c r="E15" s="5">
        <v>91.295116772823789</v>
      </c>
      <c r="F15" s="10">
        <v>85.6</v>
      </c>
      <c r="G15" s="9"/>
    </row>
    <row r="16" spans="2:7" ht="15.95" customHeight="1" x14ac:dyDescent="0.25">
      <c r="B16" s="3" t="s">
        <v>3</v>
      </c>
      <c r="C16" s="5">
        <v>99.592944369063773</v>
      </c>
      <c r="D16" s="5">
        <v>91.635455680399502</v>
      </c>
      <c r="E16" s="5">
        <v>95.448634590377097</v>
      </c>
      <c r="F16" s="10">
        <v>92.3</v>
      </c>
      <c r="G16" s="9"/>
    </row>
    <row r="17" spans="2:7" ht="15.95" customHeight="1" x14ac:dyDescent="0.25">
      <c r="B17" s="3" t="s">
        <v>4</v>
      </c>
      <c r="C17" s="5">
        <v>98.778833107191303</v>
      </c>
      <c r="D17" s="5">
        <v>94.422827496757449</v>
      </c>
      <c r="E17" s="5">
        <v>96.551724137931018</v>
      </c>
      <c r="F17" s="10">
        <v>94.8</v>
      </c>
      <c r="G17" s="9"/>
    </row>
    <row r="18" spans="2:7" ht="15.95" customHeight="1" x14ac:dyDescent="0.25">
      <c r="B18" s="3" t="s">
        <v>23</v>
      </c>
      <c r="C18" s="5">
        <v>99.457259158751697</v>
      </c>
      <c r="D18" s="5">
        <v>96.574440052700922</v>
      </c>
      <c r="E18" s="5">
        <v>97.994652406417103</v>
      </c>
      <c r="F18" s="10">
        <v>95.2</v>
      </c>
      <c r="G18" s="9"/>
    </row>
    <row r="19" spans="2:7" x14ac:dyDescent="0.25">
      <c r="F19" s="9"/>
      <c r="G19" s="9"/>
    </row>
    <row r="20" spans="2:7" x14ac:dyDescent="0.25">
      <c r="B20" s="14" t="s">
        <v>18</v>
      </c>
      <c r="C20" s="4" t="s">
        <v>2</v>
      </c>
      <c r="D20" s="4" t="s">
        <v>6</v>
      </c>
      <c r="E20" s="4" t="s">
        <v>11</v>
      </c>
      <c r="F20" s="8" t="s">
        <v>12</v>
      </c>
      <c r="G20" s="9"/>
    </row>
    <row r="21" spans="2:7" ht="15.95" customHeight="1" x14ac:dyDescent="0.25">
      <c r="B21" s="3" t="s">
        <v>5</v>
      </c>
      <c r="C21" s="5">
        <v>88.19538670284939</v>
      </c>
      <c r="D21" s="5">
        <v>95.588235294117652</v>
      </c>
      <c r="E21" s="5">
        <v>91.743119266055047</v>
      </c>
      <c r="F21" s="10">
        <v>85.4</v>
      </c>
      <c r="G21" s="9"/>
    </row>
    <row r="22" spans="2:7" ht="15.95" customHeight="1" x14ac:dyDescent="0.25">
      <c r="B22" s="3" t="s">
        <v>3</v>
      </c>
      <c r="C22" s="5">
        <v>98.643147896879242</v>
      </c>
      <c r="D22" s="5">
        <v>89.975247524752476</v>
      </c>
      <c r="E22" s="5">
        <v>94.110032362459549</v>
      </c>
      <c r="F22" s="10">
        <v>88.6</v>
      </c>
      <c r="G22" s="9"/>
    </row>
    <row r="23" spans="2:7" ht="15.95" customHeight="1" x14ac:dyDescent="0.25">
      <c r="B23" s="3" t="s">
        <v>4</v>
      </c>
      <c r="C23" s="5">
        <v>98.778833107191303</v>
      </c>
      <c r="D23" s="5">
        <v>94.300518134715034</v>
      </c>
      <c r="E23" s="5">
        <v>96.487740225314766</v>
      </c>
      <c r="F23" s="10">
        <v>94.2</v>
      </c>
      <c r="G23" s="9"/>
    </row>
    <row r="24" spans="2:7" ht="15.95" customHeight="1" x14ac:dyDescent="0.25">
      <c r="B24" s="3" t="s">
        <v>23</v>
      </c>
      <c r="C24" s="5">
        <v>98.236092265943014</v>
      </c>
      <c r="D24" s="5">
        <v>94.88859764089122</v>
      </c>
      <c r="E24" s="5">
        <v>96.533333333333317</v>
      </c>
      <c r="F24" s="10">
        <v>94.7</v>
      </c>
      <c r="G24" s="9"/>
    </row>
    <row r="25" spans="2:7" x14ac:dyDescent="0.25">
      <c r="F25" s="9"/>
      <c r="G25" s="9"/>
    </row>
    <row r="26" spans="2:7" x14ac:dyDescent="0.25">
      <c r="B26" s="14" t="s">
        <v>19</v>
      </c>
      <c r="C26" s="4" t="s">
        <v>2</v>
      </c>
      <c r="D26" s="4" t="s">
        <v>6</v>
      </c>
      <c r="E26" s="4" t="s">
        <v>11</v>
      </c>
      <c r="F26" s="8" t="s">
        <v>12</v>
      </c>
      <c r="G26" s="9"/>
    </row>
    <row r="27" spans="2:7" ht="15.95" customHeight="1" x14ac:dyDescent="0.25">
      <c r="B27" s="3" t="s">
        <v>5</v>
      </c>
      <c r="C27" s="5">
        <v>88.059701492537314</v>
      </c>
      <c r="D27" s="5">
        <v>95.864106351550959</v>
      </c>
      <c r="E27" s="5">
        <v>91.796322489391784</v>
      </c>
      <c r="F27" s="10">
        <v>85.2</v>
      </c>
      <c r="G27" s="9"/>
    </row>
    <row r="28" spans="2:7" ht="15.95" customHeight="1" x14ac:dyDescent="0.25">
      <c r="B28" s="3" t="s">
        <v>3</v>
      </c>
      <c r="C28" s="5">
        <v>98.100407055630939</v>
      </c>
      <c r="D28" s="5">
        <v>92.93059125964011</v>
      </c>
      <c r="E28" s="5">
        <v>95.445544554455452</v>
      </c>
      <c r="F28" s="10">
        <v>91.4</v>
      </c>
      <c r="G28" s="9"/>
    </row>
    <row r="29" spans="2:7" ht="15.95" customHeight="1" x14ac:dyDescent="0.25">
      <c r="B29" s="3" t="s">
        <v>4</v>
      </c>
      <c r="C29" s="5">
        <v>98.643147896879242</v>
      </c>
      <c r="D29" s="5">
        <v>94.170984455958546</v>
      </c>
      <c r="E29" s="5">
        <v>96.355202120609675</v>
      </c>
      <c r="F29" s="10">
        <v>93.4</v>
      </c>
      <c r="G29" s="9"/>
    </row>
    <row r="30" spans="2:7" ht="15.95" customHeight="1" x14ac:dyDescent="0.25">
      <c r="B30" s="3" t="s">
        <v>23</v>
      </c>
      <c r="C30" s="5">
        <v>98.778833107191303</v>
      </c>
      <c r="D30" s="5">
        <v>95.163398692810446</v>
      </c>
      <c r="E30" s="5">
        <v>96.937416777629807</v>
      </c>
      <c r="F30" s="10">
        <v>94.4</v>
      </c>
      <c r="G30" s="9"/>
    </row>
    <row r="31" spans="2:7" x14ac:dyDescent="0.25">
      <c r="F31" s="9"/>
      <c r="G31" s="9"/>
    </row>
    <row r="32" spans="2:7" x14ac:dyDescent="0.25">
      <c r="B32" s="14" t="s">
        <v>20</v>
      </c>
      <c r="C32" s="4" t="s">
        <v>2</v>
      </c>
      <c r="D32" s="4" t="s">
        <v>6</v>
      </c>
      <c r="E32" s="4" t="s">
        <v>11</v>
      </c>
      <c r="F32" s="8" t="s">
        <v>12</v>
      </c>
      <c r="G32" s="9"/>
    </row>
    <row r="33" spans="2:7" ht="15.95" customHeight="1" x14ac:dyDescent="0.25">
      <c r="B33" s="3" t="s">
        <v>5</v>
      </c>
      <c r="C33" s="5">
        <v>87.24559023066486</v>
      </c>
      <c r="D33" s="5">
        <v>95.970149253731336</v>
      </c>
      <c r="E33" s="5">
        <v>91.400142146410815</v>
      </c>
      <c r="F33" s="10">
        <v>84.9</v>
      </c>
      <c r="G33" s="9"/>
    </row>
    <row r="34" spans="2:7" ht="15.95" customHeight="1" x14ac:dyDescent="0.25">
      <c r="B34" s="3" t="s">
        <v>3</v>
      </c>
      <c r="C34" s="5">
        <v>98.507462686567166</v>
      </c>
      <c r="D34" s="5">
        <v>92.720306513409966</v>
      </c>
      <c r="E34" s="5">
        <v>95.526315789473685</v>
      </c>
      <c r="F34" s="10">
        <v>91.7</v>
      </c>
      <c r="G34" s="9"/>
    </row>
    <row r="35" spans="2:7" ht="15.95" customHeight="1" x14ac:dyDescent="0.25">
      <c r="B35" s="3" t="s">
        <v>4</v>
      </c>
      <c r="C35" s="5">
        <v>98.236092265943014</v>
      </c>
      <c r="D35" s="5">
        <v>94.640522875816984</v>
      </c>
      <c r="E35" s="5">
        <v>96.404793608521956</v>
      </c>
      <c r="F35" s="10">
        <v>93.1</v>
      </c>
      <c r="G35" s="9"/>
    </row>
    <row r="36" spans="2:7" ht="15.95" customHeight="1" x14ac:dyDescent="0.25">
      <c r="B36" s="3" t="s">
        <v>23</v>
      </c>
      <c r="C36" s="5">
        <v>98.236092265943014</v>
      </c>
      <c r="D36" s="5">
        <v>94.88859764089122</v>
      </c>
      <c r="E36" s="5">
        <v>96.533333333333317</v>
      </c>
      <c r="F36" s="10">
        <v>94.2</v>
      </c>
      <c r="G36" s="9"/>
    </row>
    <row r="37" spans="2:7" x14ac:dyDescent="0.25">
      <c r="F37" s="9"/>
      <c r="G37" s="9"/>
    </row>
  </sheetData>
  <pageMargins left="0.89" right="0.17" top="0.25" bottom="0.24" header="0.17" footer="0.17"/>
  <pageSetup paperSize="9" scale="86" fitToWidth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Pumpkin Seeds</vt:lpstr>
      <vt:lpstr>XGBoost</vt:lpstr>
      <vt:lpstr>preparation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V V R Maheswara Rao</dc:creator>
  <cp:lastModifiedBy>HP</cp:lastModifiedBy>
  <cp:lastPrinted>2023-10-06T10:19:20Z</cp:lastPrinted>
  <dcterms:created xsi:type="dcterms:W3CDTF">2015-06-05T18:17:20Z</dcterms:created>
  <dcterms:modified xsi:type="dcterms:W3CDTF">2024-06-26T11:18:43Z</dcterms:modified>
</cp:coreProperties>
</file>